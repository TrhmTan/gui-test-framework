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_PLAN" sheetId="1" state="visible" r:id="rId3"/>
    <sheet name="L1_TEST_CASES" sheetId="2" state="visible" r:id="rId4"/>
    <sheet name="PRECONDITION_LIBRARY" sheetId="3" state="visible" r:id="rId5"/>
    <sheet name="COVERAGE_SUMMARY" sheetId="4" state="visible" r:id="rId6"/>
  </sheets>
  <definedNames>
    <definedName function="false" hidden="true" localSheetId="1" name="_xlnm._FilterDatabase" vbProcedure="false">L1_TEST_CASES!$A$1:$J$25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<sst xmlns="http://schemas.openxmlformats.org/spreadsheetml/2006/main" count="355" uniqueCount="215">
  <si>
    <t xml:space="preserve">Phuong an to chuc TC - phan tich va ket luan</t>
  </si>
  <si>
    <t xml:space="preserve">Phuong an</t>
  </si>
  <si>
    <t xml:space="preserve">Uu diem</t>
  </si>
  <si>
    <t xml:space="preserve">Nhuoc diem</t>
  </si>
  <si>
    <t xml:space="preserve">Ket luan</t>
  </si>
  <si>
    <t xml:space="preserve">A. Theo man hinh (screen)</t>
  </si>
  <si>
    <t xml:space="preserve">Truc quan, de tim TC theo UI; element gom theo man hinh</t>
  </si>
  <si>
    <t xml:space="preserve">Checkout co 3 man hinh -&gt; 3 sheet qua vun; element trung lap giua sheet</t>
  </si>
  <si>
    <t xml:space="preserve">Khong chon thuan tuy</t>
  </si>
  <si>
    <t xml:space="preserve">B. Theo tinh nang (feature/module)</t>
  </si>
  <si>
    <t xml:space="preserve">Voi SauceDemo, feature ~ man hinh chinh; khop thiet ke framework: 1 sheet TEST_CASE_&lt;MODULE&gt; = 1 don vi chay doc lap qua MODULE_FILTER; ELEMENT_&lt;MODULE&gt; rieng tung sheet</t>
  </si>
  <si>
    <t xml:space="preserve">Case xuyen man hinh (E2E) khong thuoc ve module nao</t>
  </si>
  <si>
    <t xml:space="preserve">CHON lam truc chinh</t>
  </si>
  <si>
    <t xml:space="preserve">C. Theo workflow</t>
  </si>
  <si>
    <t xml:space="preserve">Phan anh hanh trinh nguoi dung that</t>
  </si>
  <si>
    <t xml:space="preserve">Khong scale khi L2/L3 tang: case don man hinh khong thuoc workflow nao; kho gom element</t>
  </si>
  <si>
    <t xml:space="preserve">Chi giu 1 module E2E_FLOW cho journey xuyen man hinh</t>
  </si>
  <si>
    <t xml:space="preserve">KET LUAN: Hybrid = B + C. 6 modules, moi module 1 sheet TEST_CASE_* chay doc lap nho chuoi precondition chuan (xem sheet PRECONDITION_LIBRARY).</t>
  </si>
  <si>
    <t xml:space="preserve">Sheet (module)</t>
  </si>
  <si>
    <t xml:space="preserve">Pham vi</t>
  </si>
  <si>
    <t xml:space="preserve">So HL case</t>
  </si>
  <si>
    <t xml:space="preserve">Chuoi precondition mac dinh</t>
  </si>
  <si>
    <t xml:space="preserve">Lenh chay rieng module</t>
  </si>
  <si>
    <t xml:space="preserve">TEST_CASE_LOGIN</t>
  </si>
  <si>
    <t xml:space="preserve">Login pos/neg, logout, security truy cap URL, perf glitch user</t>
  </si>
  <si>
    <t xml:space="preserve">6</t>
  </si>
  <si>
    <t xml:space="preserve">(khong) - login nam trong step cua TC vi framework dong browser sau moi TC cua module LOGIN</t>
  </si>
  <si>
    <t xml:space="preserve">.\run saucedemo local -m login</t>
  </si>
  <si>
    <t xml:space="preserve">TEST_CASE_INVENTORY</t>
  </si>
  <si>
    <t xml:space="preserve">Danh sach san pham, sort, add/remove tu list, burger menu, footer, visual baseline</t>
  </si>
  <si>
    <t xml:space="preserve">pre_super_admin_login_success, pre_reset_app_state</t>
  </si>
  <si>
    <t xml:space="preserve">.\run saucedemo local -m inventory</t>
  </si>
  <si>
    <t xml:space="preserve">TEST_CASE_PRODUCT_DETAIL</t>
  </si>
  <si>
    <t xml:space="preserve">Mo detail tu image/title, noi dung detail, add/remove tai detail, back</t>
  </si>
  <si>
    <t xml:space="preserve">3</t>
  </si>
  <si>
    <t xml:space="preserve">.\run saucedemo local -m product_detail</t>
  </si>
  <si>
    <t xml:space="preserve">TEST_CASE_CART</t>
  </si>
  <si>
    <t xml:space="preserve">Noi dung gio hang, remove, continue shopping</t>
  </si>
  <si>
    <t xml:space="preserve">pre_super_admin_login_success, pre_cart_backpack</t>
  </si>
  <si>
    <t xml:space="preserve">.\run saucedemo local -m cart</t>
  </si>
  <si>
    <t xml:space="preserve">TEST_CASE_CHECKOUT</t>
  </si>
  <si>
    <t xml:space="preserve">Validate form, tinh tien, cancel</t>
  </si>
  <si>
    <t xml:space="preserve">pre_super_admin_login_success, pre_checkout_info (hoac pre_cart_backpack)</t>
  </si>
  <si>
    <t xml:space="preserve">.\run saucedemo local -m checkout</t>
  </si>
  <si>
    <t xml:space="preserve">TEST_CASE_E2E_FLOW</t>
  </si>
  <si>
    <t xml:space="preserve">Journey xuyen man hinh: mua hang tron ven, cart persistence, problem_user</t>
  </si>
  <si>
    <t xml:space="preserve">(khong) - journey tu buoc login</t>
  </si>
  <si>
    <t xml:space="preserve">.\run saucedemo local -m e2e_flow</t>
  </si>
  <si>
    <t xml:space="preserve">Chay tat ca: .\run saucedemo local  (Master Suite - khong can -m)</t>
  </si>
  <si>
    <t xml:space="preserve">Bo sung can thiet o L3: PAGE them inventory_item, checkout_step_one, checkout_step_two, checkout_complete; ELEMENT them btn_burger_close, btn_checkout, btn_continue_shopping, btn_cancel, btn_finish, btn_back_home, txt_first_name, txt_last_name, txt_zip, lbl_item_total, lbl_tax, lbl_total, msg_order_complete</t>
  </si>
  <si>
    <t xml:space="preserve">hl_tc_id</t>
  </si>
  <si>
    <t xml:space="preserve">module (sheet)</t>
  </si>
  <si>
    <t xml:space="preserve">feature</t>
  </si>
  <si>
    <t xml:space="preserve">summary (EN)</t>
  </si>
  <si>
    <t xml:space="preserve">objective (VN)</t>
  </si>
  <si>
    <t xml:space="preserve">precondition</t>
  </si>
  <si>
    <t xml:space="preserve">type</t>
  </si>
  <si>
    <t xml:space="preserve">priority</t>
  </si>
  <si>
    <t xml:space="preserve">coverage_vs_current</t>
  </si>
  <si>
    <t xml:space="preserve">note / decompose hint</t>
  </si>
  <si>
    <t xml:space="preserve">HL-AUTH-01</t>
  </si>
  <si>
    <t xml:space="preserve">LOGIN</t>
  </si>
  <si>
    <t xml:space="preserve">Authentication</t>
  </si>
  <si>
    <t xml:space="preserve">Login succeeds with every valid user type</t>
  </si>
  <si>
    <t xml:space="preserve">Login thanh cong voi: standard_user, problem_user, performance_glitch_user, error_user, visual_user</t>
  </si>
  <si>
    <t xml:space="preserve">(none)</t>
  </si>
  <si>
    <t xml:space="preserve">pos</t>
  </si>
  <si>
    <t xml:space="preserve">P1</t>
  </si>
  <si>
    <t xml:space="preserve">Partial</t>
  </si>
  <si>
    <t xml:space="preserve">L2 tach moi user 1 condition, data-driven (parameterized=Y, DATA sheet)</t>
  </si>
  <si>
    <t xml:space="preserve">HL-AUTH-02</t>
  </si>
  <si>
    <t xml:space="preserve">Login is blocked for locked_out_user with correct error message</t>
  </si>
  <si>
    <t xml:space="preserve">User bi khoa khong the login, dung error message</t>
  </si>
  <si>
    <t xml:space="preserve">neg</t>
  </si>
  <si>
    <t xml:space="preserve">Covered</t>
  </si>
  <si>
    <t xml:space="preserve">Da co TC-LOGIN-002</t>
  </si>
  <si>
    <t xml:space="preserve">HL-AUTH-03</t>
  </si>
  <si>
    <t xml:space="preserve">Login is rejected for invalid or missing credentials</t>
  </si>
  <si>
    <t xml:space="preserve">Sai password / trong username / trong password - moi truong hop dung error message rieng</t>
  </si>
  <si>
    <t xml:space="preserve">Gap</t>
  </si>
  <si>
    <t xml:space="preserve">3 error messages khac nhau can verify chinh xac</t>
  </si>
  <si>
    <t xml:space="preserve">HL-AUTH-04</t>
  </si>
  <si>
    <t xml:space="preserve">Logout ends the session and returns to the login page</t>
  </si>
  <si>
    <t xml:space="preserve">Logout ve trang login; khong the quay lai inventory</t>
  </si>
  <si>
    <t xml:space="preserve">(none) - login trong step</t>
  </si>
  <si>
    <t xml:space="preserve">TC-INV-016 da fix; se chuyen ve module LOGIN</t>
  </si>
  <si>
    <t xml:space="preserve">HL-AUTH-05</t>
  </si>
  <si>
    <t xml:space="preserve">Protected pages are inaccessible without login</t>
  </si>
  <si>
    <t xml:space="preserve">Truy cap truc tiep inventory/cart/checkout khi chua login bi chan kem error</t>
  </si>
  <si>
    <t xml:space="preserve">Security case - SauceDemo tra error 'You can only access...'</t>
  </si>
  <si>
    <t xml:space="preserve">HL-PERF-01</t>
  </si>
  <si>
    <t xml:space="preserve">Performance</t>
  </si>
  <si>
    <t xml:space="preserve">performance_glitch_user can still complete login within timeout</t>
  </si>
  <si>
    <t xml:space="preserve">Login cham nhung van thanh cong trong timeout cua framework</t>
  </si>
  <si>
    <t xml:space="preserve">P3</t>
  </si>
  <si>
    <t xml:space="preserve">Kiem tra wait strategy chiu duoc delay</t>
  </si>
  <si>
    <t xml:space="preserve">HL-INV-01</t>
  </si>
  <si>
    <t xml:space="preserve">INVENTORY</t>
  </si>
  <si>
    <t xml:space="preserve">Inventory</t>
  </si>
  <si>
    <t xml:space="preserve">All 6 products display with correct name, description, price and image</t>
  </si>
  <si>
    <t xml:space="preserve">Danh sach 6 san pham day du, dung du lieu</t>
  </si>
  <si>
    <t xml:space="preserve">TC-INV-001 moi check 1 nut Add to cart</t>
  </si>
  <si>
    <t xml:space="preserve">HL-INV-02</t>
  </si>
  <si>
    <t xml:space="preserve">Product sorting works for all four modes</t>
  </si>
  <si>
    <t xml:space="preserve">Sort Name A-Z/Z-A, Price low-high/high-low dung thu tu</t>
  </si>
  <si>
    <t xml:space="preserve">P2</t>
  </si>
  <si>
    <t xml:space="preserve">TC-INV-009..012</t>
  </si>
  <si>
    <t xml:space="preserve">HL-INV-03</t>
  </si>
  <si>
    <t xml:space="preserve">Adding and removing products from the list updates the cart badge</t>
  </si>
  <si>
    <t xml:space="preserve">Add/Remove tu inventory cap nhat badge dung, an badge khi ve 0</t>
  </si>
  <si>
    <t xml:space="preserve">TC-INV-004..008</t>
  </si>
  <si>
    <t xml:space="preserve">HL-NAV-01</t>
  </si>
  <si>
    <t xml:space="preserve">Navigation</t>
  </si>
  <si>
    <t xml:space="preserve">Burger menu links work: All Items, About, Reset App State</t>
  </si>
  <si>
    <t xml:space="preserve">All Items ve inventory; About mo saucelabs.com; Reset xoa badge</t>
  </si>
  <si>
    <t xml:space="preserve">About = TC-INV-015 dang thieu</t>
  </si>
  <si>
    <t xml:space="preserve">HL-NAV-02</t>
  </si>
  <si>
    <t xml:space="preserve">Footer social links point to the correct external sites</t>
  </si>
  <si>
    <t xml:space="preserve">Twitter/X, Facebook, LinkedIn dung href</t>
  </si>
  <si>
    <t xml:space="preserve">Chi check href attribute, khong navigate that</t>
  </si>
  <si>
    <t xml:space="preserve">HL-VIS-01</t>
  </si>
  <si>
    <t xml:space="preserve">Visual</t>
  </si>
  <si>
    <t xml:space="preserve">Key pages match visual baselines</t>
  </si>
  <si>
    <t xml:space="preserve">check_visual: login, inventory, cart, checkout overview</t>
  </si>
  <si>
    <t xml:space="preserve">Moi co 1 check_visual trong TC-CART-001</t>
  </si>
  <si>
    <t xml:space="preserve">HL-INV-04</t>
  </si>
  <si>
    <t xml:space="preserve">PRODUCT_DETAIL</t>
  </si>
  <si>
    <t xml:space="preserve">Product Detail</t>
  </si>
  <si>
    <t xml:space="preserve">Product detail opens from both image and title with consistent data</t>
  </si>
  <si>
    <t xml:space="preserve">Mo detail tu anh va ten; name/price/description khop voi list</t>
  </si>
  <si>
    <t xml:space="preserve">TC-INV-002/003 moi assert URL</t>
  </si>
  <si>
    <t xml:space="preserve">HL-INV-05</t>
  </si>
  <si>
    <t xml:space="preserve">Add and remove from the product detail page updates the cart badge</t>
  </si>
  <si>
    <t xml:space="preserve">Add/Remove ngay tren detail hoat dong dung</t>
  </si>
  <si>
    <t xml:space="preserve">HL-INV-06</t>
  </si>
  <si>
    <t xml:space="preserve">Back to products returns to the inventory list</t>
  </si>
  <si>
    <t xml:space="preserve">Nut Back to products ve dung inventory</t>
  </si>
  <si>
    <t xml:space="preserve">HL-CART-01</t>
  </si>
  <si>
    <t xml:space="preserve">CART</t>
  </si>
  <si>
    <t xml:space="preserve">Cart</t>
  </si>
  <si>
    <t xml:space="preserve">Cart lists added items with correct name, price and quantity</t>
  </si>
  <si>
    <t xml:space="preserve">Cart hien thi dung ten, gia, QTY cua item da them</t>
  </si>
  <si>
    <t xml:space="preserve">TC-CART-001 moi check visible</t>
  </si>
  <si>
    <t xml:space="preserve">HL-CART-02</t>
  </si>
  <si>
    <t xml:space="preserve">Removing an item from the cart updates the list and badge</t>
  </si>
  <si>
    <t xml:space="preserve">Remove trong cart xoa dong item, cap nhat badge</t>
  </si>
  <si>
    <t xml:space="preserve">HL-CART-03</t>
  </si>
  <si>
    <t xml:space="preserve">Continue Shopping returns to inventory and keeps cart state</t>
  </si>
  <si>
    <t xml:space="preserve">Continue Shopping ve inventory, cart giu nguyen</t>
  </si>
  <si>
    <t xml:space="preserve">HL-CHK-01</t>
  </si>
  <si>
    <t xml:space="preserve">CHECKOUT</t>
  </si>
  <si>
    <t xml:space="preserve">Checkout</t>
  </si>
  <si>
    <t xml:space="preserve">Checkout information form validates required fields</t>
  </si>
  <si>
    <t xml:space="preserve">Trong First/Last/Zip - dung error message, khong cho di tiep</t>
  </si>
  <si>
    <t xml:space="preserve">pre_super_admin_login_success, pre_checkout_info</t>
  </si>
  <si>
    <t xml:space="preserve">Checkout chua duoc test - gap lon nhat</t>
  </si>
  <si>
    <t xml:space="preserve">HL-CHK-02</t>
  </si>
  <si>
    <t xml:space="preserve">Checkout overview shows correct item total, tax and total</t>
  </si>
  <si>
    <t xml:space="preserve">Item total dung, tax 8%, total = item total + tax</t>
  </si>
  <si>
    <t xml:space="preserve">L3 dung capture_text + set_context</t>
  </si>
  <si>
    <t xml:space="preserve">HL-CHK-04</t>
  </si>
  <si>
    <t xml:space="preserve">Cancel at each checkout step returns to the correct page without losing the cart</t>
  </si>
  <si>
    <t xml:space="preserve">Cancel o Information ve Cart, o Overview ve Inventory; cart khong mat</t>
  </si>
  <si>
    <t xml:space="preserve">HL-CHK-03</t>
  </si>
  <si>
    <t xml:space="preserve">E2E_FLOW</t>
  </si>
  <si>
    <t xml:space="preserve">Workflow</t>
  </si>
  <si>
    <t xml:space="preserve">End-to-end purchase completes successfully</t>
  </si>
  <si>
    <t xml:space="preserve">Login &gt; add &gt; cart &gt; checkout &gt; finish &gt; 'Thank you for your order' &gt; Back Home, badge ve 0</t>
  </si>
  <si>
    <t xml:space="preserve">(none) - journey tu login</t>
  </si>
  <si>
    <t xml:space="preserve">Smoke E2E quan trong nhat</t>
  </si>
  <si>
    <t xml:space="preserve">HL-CART-04</t>
  </si>
  <si>
    <t xml:space="preserve">Cart state persists across pages and after re-login</t>
  </si>
  <si>
    <t xml:space="preserve">Cart giu nguyen khi chuyen trang va sau logout/login lai cung user</t>
  </si>
  <si>
    <t xml:space="preserve">SauceDemo luu cart theo user</t>
  </si>
  <si>
    <t xml:space="preserve">HL-UX-01</t>
  </si>
  <si>
    <t xml:space="preserve">problem_user renders broken product images (known-defect detection)</t>
  </si>
  <si>
    <t xml:space="preserve">Login problem_user - anh san pham sai; case phat hien defect co chu dich</t>
  </si>
  <si>
    <t xml:space="preserve">Demo framework bat duoc UI defect</t>
  </si>
  <si>
    <t xml:space="preserve">pre_id</t>
  </si>
  <si>
    <t xml:space="preserve">muc dich</t>
  </si>
  <si>
    <t xml:space="preserve">phu thuoc (chain)</t>
  </si>
  <si>
    <t xml:space="preserve">cac buoc (steps)</t>
  </si>
  <si>
    <t xml:space="preserve">dung boi module</t>
  </si>
  <si>
    <t xml:space="preserve">trang thai</t>
  </si>
  <si>
    <t xml:space="preserve">pre_super_admin_login_success</t>
  </si>
  <si>
    <t xml:space="preserve">Login standard_user va luu storageState (framework tai su dung session, ID nay duoc global-setup.ts hardcode - KHONG doi ten)</t>
  </si>
  <si>
    <t xml:space="preserve">-</t>
  </si>
  <si>
    <t xml:space="preserve">navigate login &gt; input txt_username=standard_user &gt; input txt_password=secret_sauce &gt; click btn_login &gt; assert_url /inventory.html</t>
  </si>
  <si>
    <t xml:space="preserve">INVENTORY, PRODUCT_DETAIL, CART, CHECKOUT</t>
  </si>
  <si>
    <t xml:space="preserve">Da co san</t>
  </si>
  <si>
    <t xml:space="preserve">pre_reset_app_state</t>
  </si>
  <si>
    <t xml:space="preserve">Dua app ve trang thai sach (cart rong) truoc moi TC - dam bao TC doc lap, khong bi leak cart state tu TC truoc</t>
  </si>
  <si>
    <t xml:space="preserve">navigate inventory &gt; click btn_burger_menu &gt; click link_sidebar_reset &gt; click btn_burger_close</t>
  </si>
  <si>
    <t xml:space="preserve">INVENTORY, PRODUCT_DETAIL</t>
  </si>
  <si>
    <t xml:space="preserve">MOI - can them element btn_burger_close (id: react-burger-cross-btn)</t>
  </si>
  <si>
    <t xml:space="preserve">pre_cart_backpack</t>
  </si>
  <si>
    <t xml:space="preserve">Gio hang co san dung 1 item (Sauce Labs Backpack)</t>
  </si>
  <si>
    <t xml:space="preserve">click btn_add_to_cart_backpack &gt; check_status badge_cart = 1</t>
  </si>
  <si>
    <t xml:space="preserve">CART, CHECKOUT</t>
  </si>
  <si>
    <t xml:space="preserve">MOI</t>
  </si>
  <si>
    <t xml:space="preserve">pre_checkout_info</t>
  </si>
  <si>
    <t xml:space="preserve">Dang dung o trang Checkout: Your Information voi cart co 1 item</t>
  </si>
  <si>
    <t xml:space="preserve">navigate cart &gt; click btn_checkout &gt; assert_url /checkout-step-one.html</t>
  </si>
  <si>
    <t xml:space="preserve">MOI - can them element btn_checkout + PAGE checkout_step_one</t>
  </si>
  <si>
    <t xml:space="preserve">Ghi chu: cot precondition trong TEST_CASE_* ho tro nhieu pre_id phan tach bang dau phay - framework chay lan luot theo thu tu (main.spec.ts).</t>
  </si>
  <si>
    <t xml:space="preserve">Coverage summary vs current L3 suite</t>
  </si>
  <si>
    <t xml:space="preserve">Status</t>
  </si>
  <si>
    <t xml:space="preserve">Count</t>
  </si>
  <si>
    <t xml:space="preserve">Meaning</t>
  </si>
  <si>
    <t xml:space="preserve">Bo L3 hien tai da cover</t>
  </si>
  <si>
    <t xml:space="preserve">Da co TC nhung assertion chua du</t>
  </si>
  <si>
    <t xml:space="preserve">Chua co TC nao</t>
  </si>
  <si>
    <t xml:space="preserve">Total</t>
  </si>
  <si>
    <t xml:space="preserve">Module</t>
  </si>
  <si>
    <t xml:space="preserve">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</si>
</sst>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3.8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customFormat="false" ht="91" hidden="false" customHeight="false" outlineLevel="0" collapsed="false">
      <c r="A4" s="2" t="s">
        <v>5</v>
      </c>
      <c r="B4" s="2" t="s">
        <v>6</v>
      </c>
      <c r="C4" s="2" t="s">
        <v>7</v>
      </c>
      <c r="D4" s="2" t="s">
        <v>8</v>
      </c>
      <c r="E4" s="2"/>
    </row>
    <row r="5" customFormat="false" ht="68.65" hidden="false" customHeight="false" outlineLevel="0" collapsed="false">
      <c r="A5" s="2" t="s">
        <v>9</v>
      </c>
      <c r="B5" s="2" t="s">
        <v>10</v>
      </c>
      <c r="C5" s="2" t="s">
        <v>11</v>
      </c>
      <c r="D5" s="2" t="s">
        <v>12</v>
      </c>
      <c r="E5" s="2"/>
    </row>
    <row r="6" customFormat="false" ht="124.6" hidden="false" customHeight="false" outlineLevel="0" collapsed="false">
      <c r="A6" s="2" t="s">
        <v>13</v>
      </c>
      <c r="B6" s="2" t="s">
        <v>14</v>
      </c>
      <c r="C6" s="2" t="s">
        <v>15</v>
      </c>
      <c r="D6" s="2" t="s">
        <v>16</v>
      </c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68.65" hidden="false" customHeight="false" outlineLevel="0" collapsed="false">
      <c r="A8" s="4" t="s">
        <v>17</v>
      </c>
      <c r="B8" s="2"/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23.85" hidden="false" customHeight="false" outlineLevel="0" collapsed="false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</row>
    <row r="11" customFormat="false" ht="23.85" hidden="false" customHeight="false" outlineLevel="0" collapsed="false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</row>
    <row r="12" customFormat="false" ht="23.85" hidden="false" customHeight="false" outlineLevel="0" collapsed="false">
      <c r="A12" s="2" t="s">
        <v>28</v>
      </c>
      <c r="B12" s="2" t="s">
        <v>29</v>
      </c>
      <c r="C12" s="2" t="s">
        <v>25</v>
      </c>
      <c r="D12" s="2" t="s">
        <v>30</v>
      </c>
      <c r="E12" s="2" t="s">
        <v>31</v>
      </c>
    </row>
    <row r="13" customFormat="false" ht="23.85" hidden="false" customHeight="false" outlineLevel="0" collapsed="false">
      <c r="A13" s="2" t="s">
        <v>32</v>
      </c>
      <c r="B13" s="2" t="s">
        <v>33</v>
      </c>
      <c r="C13" s="2" t="s">
        <v>34</v>
      </c>
      <c r="D13" s="2" t="s">
        <v>30</v>
      </c>
      <c r="E13" s="2" t="s">
        <v>35</v>
      </c>
    </row>
    <row r="14" customFormat="false" ht="15" hidden="false" customHeight="false" outlineLevel="0" collapsed="false">
      <c r="A14" s="2" t="s">
        <v>36</v>
      </c>
      <c r="B14" s="2" t="s">
        <v>37</v>
      </c>
      <c r="C14" s="2" t="s">
        <v>34</v>
      </c>
      <c r="D14" s="2" t="s">
        <v>38</v>
      </c>
      <c r="E14" s="2" t="s">
        <v>39</v>
      </c>
    </row>
    <row r="15" customFormat="false" ht="23.85" hidden="false" customHeight="false" outlineLevel="0" collapsed="false">
      <c r="A15" s="2" t="s">
        <v>40</v>
      </c>
      <c r="B15" s="2" t="s">
        <v>41</v>
      </c>
      <c r="C15" s="2" t="s">
        <v>34</v>
      </c>
      <c r="D15" s="2" t="s">
        <v>42</v>
      </c>
      <c r="E15" s="2" t="s">
        <v>43</v>
      </c>
    </row>
    <row r="16" customFormat="false" ht="23.85" hidden="false" customHeight="false" outlineLevel="0" collapsed="false">
      <c r="A16" s="2" t="s">
        <v>44</v>
      </c>
      <c r="B16" s="2" t="s">
        <v>45</v>
      </c>
      <c r="C16" s="2" t="s">
        <v>34</v>
      </c>
      <c r="D16" s="2" t="s">
        <v>46</v>
      </c>
      <c r="E16" s="2" t="s">
        <v>47</v>
      </c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35.05" hidden="false" customHeight="false" outlineLevel="0" collapsed="false">
      <c r="A18" s="4" t="s">
        <v>48</v>
      </c>
      <c r="B18" s="2"/>
      <c r="C18" s="2"/>
      <c r="D18" s="2"/>
      <c r="E18" s="2"/>
    </row>
    <row r="19" customFormat="false" ht="147" hidden="false" customHeight="false" outlineLevel="0" collapsed="false">
      <c r="A19" s="2" t="s">
        <v>49</v>
      </c>
      <c r="B19" s="2"/>
      <c r="C19" s="2"/>
      <c r="D19" s="2"/>
      <c r="E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7"/>
    <col collapsed="false" customWidth="true" hidden="false" outlineLevel="0" max="10" min="10" style="0" width="38"/>
  </cols>
  <sheetData>
    <row r="1" customFormat="false" ht="23.85" hidden="false" customHeight="false" outlineLevel="0" collapsed="false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</row>
    <row r="2" customFormat="false" ht="35.05" hidden="false" customHeight="false" outlineLevel="0" collapsed="false">
      <c r="A2" s="6" t="s">
        <v>60</v>
      </c>
      <c r="B2" s="7" t="s">
        <v>61</v>
      </c>
      <c r="C2" s="6" t="s">
        <v>62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8" t="s">
        <v>68</v>
      </c>
      <c r="J2" s="6" t="s">
        <v>69</v>
      </c>
    </row>
    <row r="3" customFormat="false" ht="23.85" hidden="false" customHeight="false" outlineLevel="0" collapsed="false">
      <c r="A3" s="6" t="s">
        <v>70</v>
      </c>
      <c r="B3" s="7" t="s">
        <v>61</v>
      </c>
      <c r="C3" s="6" t="s">
        <v>62</v>
      </c>
      <c r="D3" s="6" t="s">
        <v>71</v>
      </c>
      <c r="E3" s="6" t="s">
        <v>72</v>
      </c>
      <c r="F3" s="6" t="s">
        <v>65</v>
      </c>
      <c r="G3" s="6" t="s">
        <v>73</v>
      </c>
      <c r="H3" s="6" t="s">
        <v>67</v>
      </c>
      <c r="I3" s="9" t="s">
        <v>74</v>
      </c>
      <c r="J3" s="6" t="s">
        <v>75</v>
      </c>
    </row>
    <row r="4" customFormat="false" ht="23.85" hidden="false" customHeight="false" outlineLevel="0" collapsed="false">
      <c r="A4" s="6" t="s">
        <v>76</v>
      </c>
      <c r="B4" s="7" t="s">
        <v>61</v>
      </c>
      <c r="C4" s="6" t="s">
        <v>62</v>
      </c>
      <c r="D4" s="6" t="s">
        <v>77</v>
      </c>
      <c r="E4" s="6" t="s">
        <v>78</v>
      </c>
      <c r="F4" s="6" t="s">
        <v>65</v>
      </c>
      <c r="G4" s="6" t="s">
        <v>73</v>
      </c>
      <c r="H4" s="6" t="s">
        <v>67</v>
      </c>
      <c r="I4" s="10" t="s">
        <v>79</v>
      </c>
      <c r="J4" s="6" t="s">
        <v>80</v>
      </c>
    </row>
    <row r="5" customFormat="false" ht="23.85" hidden="false" customHeight="false" outlineLevel="0" collapsed="false">
      <c r="A5" s="6" t="s">
        <v>81</v>
      </c>
      <c r="B5" s="7" t="s">
        <v>61</v>
      </c>
      <c r="C5" s="6" t="s">
        <v>62</v>
      </c>
      <c r="D5" s="6" t="s">
        <v>82</v>
      </c>
      <c r="E5" s="6" t="s">
        <v>83</v>
      </c>
      <c r="F5" s="6" t="s">
        <v>84</v>
      </c>
      <c r="G5" s="6" t="s">
        <v>66</v>
      </c>
      <c r="H5" s="6" t="s">
        <v>67</v>
      </c>
      <c r="I5" s="8" t="s">
        <v>68</v>
      </c>
      <c r="J5" s="6" t="s">
        <v>85</v>
      </c>
    </row>
    <row r="6" customFormat="false" ht="23.85" hidden="false" customHeight="false" outlineLevel="0" collapsed="false">
      <c r="A6" s="6" t="s">
        <v>86</v>
      </c>
      <c r="B6" s="7" t="s">
        <v>61</v>
      </c>
      <c r="C6" s="6" t="s">
        <v>62</v>
      </c>
      <c r="D6" s="6" t="s">
        <v>87</v>
      </c>
      <c r="E6" s="6" t="s">
        <v>88</v>
      </c>
      <c r="F6" s="6" t="s">
        <v>65</v>
      </c>
      <c r="G6" s="6" t="s">
        <v>73</v>
      </c>
      <c r="H6" s="6" t="s">
        <v>67</v>
      </c>
      <c r="I6" s="10" t="s">
        <v>79</v>
      </c>
      <c r="J6" s="6" t="s">
        <v>89</v>
      </c>
    </row>
    <row r="7" customFormat="false" ht="23.85" hidden="false" customHeight="false" outlineLevel="0" collapsed="false">
      <c r="A7" s="6" t="s">
        <v>90</v>
      </c>
      <c r="B7" s="7" t="s">
        <v>61</v>
      </c>
      <c r="C7" s="6" t="s">
        <v>91</v>
      </c>
      <c r="D7" s="6" t="s">
        <v>92</v>
      </c>
      <c r="E7" s="6" t="s">
        <v>93</v>
      </c>
      <c r="F7" s="6" t="s">
        <v>65</v>
      </c>
      <c r="G7" s="6" t="s">
        <v>66</v>
      </c>
      <c r="H7" s="6" t="s">
        <v>94</v>
      </c>
      <c r="I7" s="10" t="s">
        <v>79</v>
      </c>
      <c r="J7" s="6" t="s">
        <v>95</v>
      </c>
    </row>
    <row r="8" customFormat="false" ht="23.85" hidden="false" customHeight="false" outlineLevel="0" collapsed="false">
      <c r="A8" s="6" t="s">
        <v>96</v>
      </c>
      <c r="B8" s="11" t="s">
        <v>97</v>
      </c>
      <c r="C8" s="6" t="s">
        <v>98</v>
      </c>
      <c r="D8" s="6" t="s">
        <v>99</v>
      </c>
      <c r="E8" s="6" t="s">
        <v>100</v>
      </c>
      <c r="F8" s="6" t="s">
        <v>30</v>
      </c>
      <c r="G8" s="6" t="s">
        <v>66</v>
      </c>
      <c r="H8" s="6" t="s">
        <v>67</v>
      </c>
      <c r="I8" s="8" t="s">
        <v>68</v>
      </c>
      <c r="J8" s="6" t="s">
        <v>101</v>
      </c>
    </row>
    <row r="9" customFormat="false" ht="23.85" hidden="false" customHeight="false" outlineLevel="0" collapsed="false">
      <c r="A9" s="6" t="s">
        <v>102</v>
      </c>
      <c r="B9" s="11" t="s">
        <v>97</v>
      </c>
      <c r="C9" s="6" t="s">
        <v>98</v>
      </c>
      <c r="D9" s="6" t="s">
        <v>103</v>
      </c>
      <c r="E9" s="6" t="s">
        <v>104</v>
      </c>
      <c r="F9" s="6" t="s">
        <v>30</v>
      </c>
      <c r="G9" s="6" t="s">
        <v>66</v>
      </c>
      <c r="H9" s="6" t="s">
        <v>105</v>
      </c>
      <c r="I9" s="9" t="s">
        <v>74</v>
      </c>
      <c r="J9" s="6" t="s">
        <v>106</v>
      </c>
    </row>
    <row r="10" customFormat="false" ht="23.85" hidden="false" customHeight="false" outlineLevel="0" collapsed="false">
      <c r="A10" s="6" t="s">
        <v>107</v>
      </c>
      <c r="B10" s="11" t="s">
        <v>97</v>
      </c>
      <c r="C10" s="6" t="s">
        <v>98</v>
      </c>
      <c r="D10" s="6" t="s">
        <v>108</v>
      </c>
      <c r="E10" s="6" t="s">
        <v>109</v>
      </c>
      <c r="F10" s="6" t="s">
        <v>30</v>
      </c>
      <c r="G10" s="6" t="s">
        <v>66</v>
      </c>
      <c r="H10" s="6" t="s">
        <v>67</v>
      </c>
      <c r="I10" s="9" t="s">
        <v>74</v>
      </c>
      <c r="J10" s="6" t="s">
        <v>110</v>
      </c>
    </row>
    <row r="11" customFormat="false" ht="23.85" hidden="false" customHeight="false" outlineLevel="0" collapsed="false">
      <c r="A11" s="6" t="s">
        <v>111</v>
      </c>
      <c r="B11" s="11" t="s">
        <v>97</v>
      </c>
      <c r="C11" s="6" t="s">
        <v>112</v>
      </c>
      <c r="D11" s="6" t="s">
        <v>113</v>
      </c>
      <c r="E11" s="6" t="s">
        <v>114</v>
      </c>
      <c r="F11" s="6" t="s">
        <v>30</v>
      </c>
      <c r="G11" s="6" t="s">
        <v>66</v>
      </c>
      <c r="H11" s="6" t="s">
        <v>105</v>
      </c>
      <c r="I11" s="8" t="s">
        <v>68</v>
      </c>
      <c r="J11" s="6" t="s">
        <v>115</v>
      </c>
    </row>
    <row r="12" customFormat="false" ht="23.85" hidden="false" customHeight="false" outlineLevel="0" collapsed="false">
      <c r="A12" s="6" t="s">
        <v>116</v>
      </c>
      <c r="B12" s="11" t="s">
        <v>97</v>
      </c>
      <c r="C12" s="6" t="s">
        <v>112</v>
      </c>
      <c r="D12" s="6" t="s">
        <v>117</v>
      </c>
      <c r="E12" s="6" t="s">
        <v>118</v>
      </c>
      <c r="F12" s="6" t="s">
        <v>30</v>
      </c>
      <c r="G12" s="6" t="s">
        <v>66</v>
      </c>
      <c r="H12" s="6" t="s">
        <v>94</v>
      </c>
      <c r="I12" s="10" t="s">
        <v>79</v>
      </c>
      <c r="J12" s="6" t="s">
        <v>119</v>
      </c>
    </row>
    <row r="13" customFormat="false" ht="23.85" hidden="false" customHeight="false" outlineLevel="0" collapsed="false">
      <c r="A13" s="6" t="s">
        <v>120</v>
      </c>
      <c r="B13" s="11" t="s">
        <v>97</v>
      </c>
      <c r="C13" s="6" t="s">
        <v>121</v>
      </c>
      <c r="D13" s="6" t="s">
        <v>122</v>
      </c>
      <c r="E13" s="6" t="s">
        <v>123</v>
      </c>
      <c r="F13" s="6" t="s">
        <v>30</v>
      </c>
      <c r="G13" s="6" t="s">
        <v>66</v>
      </c>
      <c r="H13" s="6" t="s">
        <v>105</v>
      </c>
      <c r="I13" s="8" t="s">
        <v>68</v>
      </c>
      <c r="J13" s="6" t="s">
        <v>124</v>
      </c>
    </row>
    <row r="14" customFormat="false" ht="23.85" hidden="false" customHeight="false" outlineLevel="0" collapsed="false">
      <c r="A14" s="6" t="s">
        <v>125</v>
      </c>
      <c r="B14" s="12" t="s">
        <v>126</v>
      </c>
      <c r="C14" s="6" t="s">
        <v>127</v>
      </c>
      <c r="D14" s="6" t="s">
        <v>128</v>
      </c>
      <c r="E14" s="6" t="s">
        <v>129</v>
      </c>
      <c r="F14" s="6" t="s">
        <v>30</v>
      </c>
      <c r="G14" s="6" t="s">
        <v>66</v>
      </c>
      <c r="H14" s="6" t="s">
        <v>105</v>
      </c>
      <c r="I14" s="8" t="s">
        <v>68</v>
      </c>
      <c r="J14" s="6" t="s">
        <v>130</v>
      </c>
    </row>
    <row r="15" customFormat="false" ht="23.85" hidden="false" customHeight="false" outlineLevel="0" collapsed="false">
      <c r="A15" s="6" t="s">
        <v>131</v>
      </c>
      <c r="B15" s="12" t="s">
        <v>126</v>
      </c>
      <c r="C15" s="6" t="s">
        <v>127</v>
      </c>
      <c r="D15" s="6" t="s">
        <v>132</v>
      </c>
      <c r="E15" s="6" t="s">
        <v>133</v>
      </c>
      <c r="F15" s="6" t="s">
        <v>30</v>
      </c>
      <c r="G15" s="6" t="s">
        <v>66</v>
      </c>
      <c r="H15" s="6" t="s">
        <v>105</v>
      </c>
      <c r="I15" s="10" t="s">
        <v>79</v>
      </c>
      <c r="J15" s="6"/>
    </row>
    <row r="16" customFormat="false" ht="23.85" hidden="false" customHeight="false" outlineLevel="0" collapsed="false">
      <c r="A16" s="6" t="s">
        <v>134</v>
      </c>
      <c r="B16" s="12" t="s">
        <v>126</v>
      </c>
      <c r="C16" s="6" t="s">
        <v>127</v>
      </c>
      <c r="D16" s="6" t="s">
        <v>135</v>
      </c>
      <c r="E16" s="6" t="s">
        <v>136</v>
      </c>
      <c r="F16" s="6" t="s">
        <v>30</v>
      </c>
      <c r="G16" s="6" t="s">
        <v>66</v>
      </c>
      <c r="H16" s="6" t="s">
        <v>94</v>
      </c>
      <c r="I16" s="10" t="s">
        <v>79</v>
      </c>
      <c r="J16" s="6"/>
    </row>
    <row r="17" customFormat="false" ht="23.85" hidden="false" customHeight="false" outlineLevel="0" collapsed="false">
      <c r="A17" s="6" t="s">
        <v>137</v>
      </c>
      <c r="B17" s="13" t="s">
        <v>138</v>
      </c>
      <c r="C17" s="6" t="s">
        <v>139</v>
      </c>
      <c r="D17" s="6" t="s">
        <v>140</v>
      </c>
      <c r="E17" s="6" t="s">
        <v>141</v>
      </c>
      <c r="F17" s="6" t="s">
        <v>38</v>
      </c>
      <c r="G17" s="6" t="s">
        <v>66</v>
      </c>
      <c r="H17" s="6" t="s">
        <v>67</v>
      </c>
      <c r="I17" s="8" t="s">
        <v>68</v>
      </c>
      <c r="J17" s="6" t="s">
        <v>142</v>
      </c>
    </row>
    <row r="18" customFormat="false" ht="23.85" hidden="false" customHeight="false" outlineLevel="0" collapsed="false">
      <c r="A18" s="6" t="s">
        <v>143</v>
      </c>
      <c r="B18" s="13" t="s">
        <v>138</v>
      </c>
      <c r="C18" s="6" t="s">
        <v>139</v>
      </c>
      <c r="D18" s="6" t="s">
        <v>144</v>
      </c>
      <c r="E18" s="6" t="s">
        <v>145</v>
      </c>
      <c r="F18" s="6" t="s">
        <v>38</v>
      </c>
      <c r="G18" s="6" t="s">
        <v>66</v>
      </c>
      <c r="H18" s="6" t="s">
        <v>67</v>
      </c>
      <c r="I18" s="10" t="s">
        <v>79</v>
      </c>
      <c r="J18" s="6"/>
    </row>
    <row r="19" customFormat="false" ht="23.85" hidden="false" customHeight="false" outlineLevel="0" collapsed="false">
      <c r="A19" s="6" t="s">
        <v>146</v>
      </c>
      <c r="B19" s="13" t="s">
        <v>138</v>
      </c>
      <c r="C19" s="6" t="s">
        <v>139</v>
      </c>
      <c r="D19" s="6" t="s">
        <v>147</v>
      </c>
      <c r="E19" s="6" t="s">
        <v>148</v>
      </c>
      <c r="F19" s="6" t="s">
        <v>38</v>
      </c>
      <c r="G19" s="6" t="s">
        <v>66</v>
      </c>
      <c r="H19" s="6" t="s">
        <v>105</v>
      </c>
      <c r="I19" s="10" t="s">
        <v>79</v>
      </c>
      <c r="J19" s="6"/>
    </row>
    <row r="20" customFormat="false" ht="23.85" hidden="false" customHeight="false" outlineLevel="0" collapsed="false">
      <c r="A20" s="6" t="s">
        <v>149</v>
      </c>
      <c r="B20" s="14" t="s">
        <v>150</v>
      </c>
      <c r="C20" s="6" t="s">
        <v>151</v>
      </c>
      <c r="D20" s="6" t="s">
        <v>152</v>
      </c>
      <c r="E20" s="6" t="s">
        <v>153</v>
      </c>
      <c r="F20" s="6" t="s">
        <v>154</v>
      </c>
      <c r="G20" s="6" t="s">
        <v>73</v>
      </c>
      <c r="H20" s="6" t="s">
        <v>67</v>
      </c>
      <c r="I20" s="10" t="s">
        <v>79</v>
      </c>
      <c r="J20" s="6" t="s">
        <v>155</v>
      </c>
    </row>
    <row r="21" customFormat="false" ht="23.85" hidden="false" customHeight="false" outlineLevel="0" collapsed="false">
      <c r="A21" s="6" t="s">
        <v>156</v>
      </c>
      <c r="B21" s="14" t="s">
        <v>150</v>
      </c>
      <c r="C21" s="6" t="s">
        <v>151</v>
      </c>
      <c r="D21" s="6" t="s">
        <v>157</v>
      </c>
      <c r="E21" s="6" t="s">
        <v>158</v>
      </c>
      <c r="F21" s="6" t="s">
        <v>154</v>
      </c>
      <c r="G21" s="6" t="s">
        <v>66</v>
      </c>
      <c r="H21" s="6" t="s">
        <v>67</v>
      </c>
      <c r="I21" s="10" t="s">
        <v>79</v>
      </c>
      <c r="J21" s="6" t="s">
        <v>159</v>
      </c>
    </row>
    <row r="22" customFormat="false" ht="23.85" hidden="false" customHeight="false" outlineLevel="0" collapsed="false">
      <c r="A22" s="6" t="s">
        <v>160</v>
      </c>
      <c r="B22" s="14" t="s">
        <v>150</v>
      </c>
      <c r="C22" s="6" t="s">
        <v>151</v>
      </c>
      <c r="D22" s="6" t="s">
        <v>161</v>
      </c>
      <c r="E22" s="6" t="s">
        <v>162</v>
      </c>
      <c r="F22" s="6" t="s">
        <v>38</v>
      </c>
      <c r="G22" s="6" t="s">
        <v>66</v>
      </c>
      <c r="H22" s="6" t="s">
        <v>105</v>
      </c>
      <c r="I22" s="10" t="s">
        <v>79</v>
      </c>
      <c r="J22" s="6"/>
    </row>
    <row r="23" customFormat="false" ht="23.85" hidden="false" customHeight="false" outlineLevel="0" collapsed="false">
      <c r="A23" s="6" t="s">
        <v>163</v>
      </c>
      <c r="B23" s="15" t="s">
        <v>164</v>
      </c>
      <c r="C23" s="6" t="s">
        <v>165</v>
      </c>
      <c r="D23" s="6" t="s">
        <v>166</v>
      </c>
      <c r="E23" s="6" t="s">
        <v>167</v>
      </c>
      <c r="F23" s="6" t="s">
        <v>168</v>
      </c>
      <c r="G23" s="6" t="s">
        <v>66</v>
      </c>
      <c r="H23" s="6" t="s">
        <v>67</v>
      </c>
      <c r="I23" s="10" t="s">
        <v>79</v>
      </c>
      <c r="J23" s="6" t="s">
        <v>169</v>
      </c>
    </row>
    <row r="24" customFormat="false" ht="23.85" hidden="false" customHeight="false" outlineLevel="0" collapsed="false">
      <c r="A24" s="6" t="s">
        <v>170</v>
      </c>
      <c r="B24" s="15" t="s">
        <v>164</v>
      </c>
      <c r="C24" s="6" t="s">
        <v>165</v>
      </c>
      <c r="D24" s="6" t="s">
        <v>171</v>
      </c>
      <c r="E24" s="6" t="s">
        <v>172</v>
      </c>
      <c r="F24" s="6" t="s">
        <v>168</v>
      </c>
      <c r="G24" s="6" t="s">
        <v>66</v>
      </c>
      <c r="H24" s="6" t="s">
        <v>94</v>
      </c>
      <c r="I24" s="10" t="s">
        <v>79</v>
      </c>
      <c r="J24" s="6" t="s">
        <v>173</v>
      </c>
    </row>
    <row r="25" customFormat="false" ht="23.85" hidden="false" customHeight="false" outlineLevel="0" collapsed="false">
      <c r="A25" s="6" t="s">
        <v>174</v>
      </c>
      <c r="B25" s="15" t="s">
        <v>164</v>
      </c>
      <c r="C25" s="6" t="s">
        <v>165</v>
      </c>
      <c r="D25" s="6" t="s">
        <v>175</v>
      </c>
      <c r="E25" s="6" t="s">
        <v>176</v>
      </c>
      <c r="F25" s="6" t="s">
        <v>168</v>
      </c>
      <c r="G25" s="6" t="s">
        <v>73</v>
      </c>
      <c r="H25" s="6" t="s">
        <v>94</v>
      </c>
      <c r="I25" s="10" t="s">
        <v>79</v>
      </c>
      <c r="J25" s="6" t="s">
        <v>177</v>
      </c>
    </row>
  </sheetData>
  <autoFilter ref="A1:J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178</v>
      </c>
      <c r="B1" s="5" t="s">
        <v>179</v>
      </c>
      <c r="C1" s="5" t="s">
        <v>180</v>
      </c>
      <c r="D1" s="5" t="s">
        <v>181</v>
      </c>
      <c r="E1" s="5" t="s">
        <v>182</v>
      </c>
      <c r="F1" s="5" t="s">
        <v>183</v>
      </c>
    </row>
    <row r="2" customFormat="false" ht="35.05" hidden="false" customHeight="false" outlineLevel="0" collapsed="false">
      <c r="A2" s="6" t="s">
        <v>184</v>
      </c>
      <c r="B2" s="6" t="s">
        <v>185</v>
      </c>
      <c r="C2" s="6" t="s">
        <v>186</v>
      </c>
      <c r="D2" s="6" t="s">
        <v>187</v>
      </c>
      <c r="E2" s="6" t="s">
        <v>188</v>
      </c>
      <c r="F2" s="6" t="s">
        <v>189</v>
      </c>
    </row>
    <row r="3" customFormat="false" ht="35.05" hidden="false" customHeight="false" outlineLevel="0" collapsed="false">
      <c r="A3" s="6" t="s">
        <v>190</v>
      </c>
      <c r="B3" s="6" t="s">
        <v>191</v>
      </c>
      <c r="C3" s="6" t="s">
        <v>184</v>
      </c>
      <c r="D3" s="6" t="s">
        <v>192</v>
      </c>
      <c r="E3" s="6" t="s">
        <v>193</v>
      </c>
      <c r="F3" s="6" t="s">
        <v>194</v>
      </c>
    </row>
    <row r="4" customFormat="false" ht="15" hidden="false" customHeight="false" outlineLevel="0" collapsed="false">
      <c r="A4" s="6" t="s">
        <v>195</v>
      </c>
      <c r="B4" s="6" t="s">
        <v>196</v>
      </c>
      <c r="C4" s="6" t="s">
        <v>190</v>
      </c>
      <c r="D4" s="6" t="s">
        <v>197</v>
      </c>
      <c r="E4" s="6" t="s">
        <v>198</v>
      </c>
      <c r="F4" s="6" t="s">
        <v>199</v>
      </c>
    </row>
    <row r="5" customFormat="false" ht="35.05" hidden="false" customHeight="false" outlineLevel="0" collapsed="false">
      <c r="A5" s="6" t="s">
        <v>200</v>
      </c>
      <c r="B5" s="6" t="s">
        <v>201</v>
      </c>
      <c r="C5" s="6" t="s">
        <v>195</v>
      </c>
      <c r="D5" s="6" t="s">
        <v>202</v>
      </c>
      <c r="E5" s="6" t="s">
        <v>150</v>
      </c>
      <c r="F5" s="6" t="s">
        <v>203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57.45" hidden="false" customHeight="false" outlineLevel="0" collapsed="false">
      <c r="A7" s="6" t="s">
        <v>204</v>
      </c>
      <c r="B7" s="6"/>
      <c r="C7" s="6"/>
      <c r="D7" s="6"/>
      <c r="E7" s="6"/>
      <c r="F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205</v>
      </c>
    </row>
    <row r="3" customFormat="false" ht="15" hidden="false" customHeight="false" outlineLevel="0" collapsed="false">
      <c r="A3" s="16" t="s">
        <v>206</v>
      </c>
      <c r="B3" s="16" t="s">
        <v>207</v>
      </c>
      <c r="C3" s="16" t="s">
        <v>208</v>
      </c>
    </row>
    <row r="4" customFormat="false" ht="15" hidden="false" customHeight="false" outlineLevel="0" collapsed="false">
      <c r="A4" s="17" t="s">
        <v>74</v>
      </c>
      <c r="B4" s="17" t="n">
        <f aca="false">COUNTIF(L1_TEST_CASES!I2:I25,"Covered")</f>
        <v>3</v>
      </c>
      <c r="C4" s="17" t="s">
        <v>209</v>
      </c>
    </row>
    <row r="5" customFormat="false" ht="15" hidden="false" customHeight="false" outlineLevel="0" collapsed="false">
      <c r="A5" s="17" t="s">
        <v>68</v>
      </c>
      <c r="B5" s="17" t="n">
        <f aca="false">COUNTIF(L1_TEST_CASES!I2:I25,"Partial")</f>
        <v>7</v>
      </c>
      <c r="C5" s="17" t="s">
        <v>210</v>
      </c>
    </row>
    <row r="6" customFormat="false" ht="15" hidden="false" customHeight="false" outlineLevel="0" collapsed="false">
      <c r="A6" s="17" t="s">
        <v>79</v>
      </c>
      <c r="B6" s="17" t="n">
        <f aca="false">COUNTIF(L1_TEST_CASES!I2:I25,"Gap")</f>
        <v>14</v>
      </c>
      <c r="C6" s="17" t="s">
        <v>211</v>
      </c>
    </row>
    <row r="7" customFormat="false" ht="15" hidden="false" customHeight="false" outlineLevel="0" collapsed="false">
      <c r="A7" s="17" t="s">
        <v>212</v>
      </c>
      <c r="B7" s="17" t="n">
        <f aca="false">COUNTA(L1_TEST_CASES!A2:A25)</f>
        <v>24</v>
      </c>
      <c r="C7" s="17"/>
    </row>
    <row r="8" customFormat="false" ht="15" hidden="false" customHeight="false" outlineLevel="0" collapsed="false">
      <c r="A8" s="17"/>
      <c r="B8" s="17"/>
      <c r="C8" s="17"/>
    </row>
    <row r="9" customFormat="false" ht="15" hidden="false" customHeight="false" outlineLevel="0" collapsed="false">
      <c r="A9" s="16" t="s">
        <v>213</v>
      </c>
      <c r="B9" s="16" t="s">
        <v>207</v>
      </c>
      <c r="C9" s="17"/>
    </row>
    <row r="10" customFormat="false" ht="15" hidden="false" customHeight="false" outlineLevel="0" collapsed="false">
      <c r="A10" s="17" t="s">
        <v>61</v>
      </c>
      <c r="B10" s="17" t="n">
        <f aca="false">COUNTIF(L1_TEST_CASES!B2:B25,"LOGIN")</f>
        <v>6</v>
      </c>
      <c r="C10" s="17"/>
    </row>
    <row r="11" customFormat="false" ht="15" hidden="false" customHeight="false" outlineLevel="0" collapsed="false">
      <c r="A11" s="17" t="s">
        <v>97</v>
      </c>
      <c r="B11" s="17" t="n">
        <f aca="false">COUNTIF(L1_TEST_CASES!B2:B25,"INVENTORY")</f>
        <v>6</v>
      </c>
      <c r="C11" s="17"/>
    </row>
    <row r="12" customFormat="false" ht="15" hidden="false" customHeight="false" outlineLevel="0" collapsed="false">
      <c r="A12" s="17" t="s">
        <v>126</v>
      </c>
      <c r="B12" s="17" t="n">
        <f aca="false">COUNTIF(L1_TEST_CASES!B2:B25,"PRODUCT_DETAIL")</f>
        <v>3</v>
      </c>
      <c r="C12" s="17"/>
    </row>
    <row r="13" customFormat="false" ht="15" hidden="false" customHeight="false" outlineLevel="0" collapsed="false">
      <c r="A13" s="17" t="s">
        <v>138</v>
      </c>
      <c r="B13" s="17" t="n">
        <f aca="false">COUNTIF(L1_TEST_CASES!B2:B25,"CART")</f>
        <v>3</v>
      </c>
      <c r="C13" s="17"/>
    </row>
    <row r="14" customFormat="false" ht="15" hidden="false" customHeight="false" outlineLevel="0" collapsed="false">
      <c r="A14" s="17" t="s">
        <v>150</v>
      </c>
      <c r="B14" s="17" t="n">
        <f aca="false">COUNTIF(L1_TEST_CASES!B2:B25,"CHECKOUT")</f>
        <v>3</v>
      </c>
      <c r="C14" s="17"/>
    </row>
    <row r="15" customFormat="false" ht="15" hidden="false" customHeight="false" outlineLevel="0" collapsed="false">
      <c r="A15" s="17" t="s">
        <v>164</v>
      </c>
      <c r="B15" s="17" t="n">
        <f aca="false">COUNTIF(L1_TEST_CASES!B2:B25,"E2E_FLOW")</f>
        <v>3</v>
      </c>
      <c r="C15" s="17"/>
    </row>
    <row r="16" customFormat="false" ht="15" hidden="false" customHeight="false" outlineLevel="0" collapsed="false">
      <c r="A16" s="17"/>
      <c r="B16" s="17"/>
      <c r="C16" s="17"/>
    </row>
    <row r="17" customFormat="false" ht="15" hidden="false" customHeight="false" outlineLevel="0" collapsed="false">
      <c r="A17" s="16" t="s">
        <v>214</v>
      </c>
      <c r="B17" s="16" t="s">
        <v>207</v>
      </c>
      <c r="C17" s="17"/>
    </row>
    <row r="18" customFormat="false" ht="15" hidden="false" customHeight="false" outlineLevel="0" collapsed="false">
      <c r="A18" s="17" t="s">
        <v>67</v>
      </c>
      <c r="B18" s="17" t="n">
        <f aca="false">COUNTIF(L1_TEST_CASES!H2:H25,"P1")</f>
        <v>12</v>
      </c>
      <c r="C18" s="17"/>
    </row>
    <row r="19" customFormat="false" ht="15" hidden="false" customHeight="false" outlineLevel="0" collapsed="false">
      <c r="A19" s="17" t="s">
        <v>105</v>
      </c>
      <c r="B19" s="17" t="n">
        <f aca="false">COUNTIF(L1_TEST_CASES!H2:H25,"P2")</f>
        <v>7</v>
      </c>
      <c r="C19" s="17"/>
    </row>
    <row r="20" customFormat="false" ht="15" hidden="false" customHeight="false" outlineLevel="0" collapsed="false">
      <c r="A20" s="17" t="s">
        <v>94</v>
      </c>
      <c r="B20" s="17" t="n">
        <f aca="false">COUNTIF(L1_TEST_CASES!H2:H25,"P3")</f>
        <v>5</v>
      </c>
      <c r="C2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2026-07-04T16:33:13Z</dcterms:created>
  <dc:creator>openpyxl</dc:creator>
  <dc:description/>
  <dc:language>en-US</dc:language>
  <cp:lastModifiedBy/>
  <dcterms:modified xsi:type="dcterms:W3CDTF">2026-07-04T16:33:13Z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